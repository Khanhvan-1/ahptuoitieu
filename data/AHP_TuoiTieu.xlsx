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HTRQD_Nhom13\"/>
    </mc:Choice>
  </mc:AlternateContent>
  <xr:revisionPtr revIDLastSave="0" documentId="13_ncr:1_{D8D0EE26-F1D9-4921-8921-34B2092AA013}" xr6:coauthVersionLast="47" xr6:coauthVersionMax="47" xr10:uidLastSave="{00000000-0000-0000-0000-000000000000}"/>
  <bookViews>
    <workbookView xWindow="0" yWindow="0" windowWidth="23040" windowHeight="12240" xr2:uid="{DF9E9DA3-47FB-4673-A6B3-721B5E64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" i="1" l="1"/>
  <c r="F114" i="1"/>
  <c r="F113" i="1"/>
  <c r="F112" i="1"/>
  <c r="E113" i="1"/>
  <c r="D115" i="1"/>
  <c r="D114" i="1"/>
  <c r="D113" i="1"/>
  <c r="D112" i="1"/>
  <c r="C115" i="1"/>
  <c r="G115" i="1" s="1"/>
  <c r="C114" i="1"/>
  <c r="C113" i="1"/>
  <c r="G113" i="1" s="1"/>
  <c r="C112" i="1"/>
  <c r="D109" i="1"/>
  <c r="E109" i="1"/>
  <c r="E115" i="1" s="1"/>
  <c r="F109" i="1"/>
  <c r="C109" i="1"/>
  <c r="D92" i="1"/>
  <c r="D98" i="1" s="1"/>
  <c r="E92" i="1"/>
  <c r="E98" i="1" s="1"/>
  <c r="F92" i="1"/>
  <c r="F98" i="1" s="1"/>
  <c r="C92" i="1"/>
  <c r="C97" i="1" s="1"/>
  <c r="D71" i="1"/>
  <c r="D77" i="1" s="1"/>
  <c r="E71" i="1"/>
  <c r="E77" i="1" s="1"/>
  <c r="F71" i="1"/>
  <c r="F76" i="1" s="1"/>
  <c r="C71" i="1"/>
  <c r="C77" i="1" s="1"/>
  <c r="D50" i="1"/>
  <c r="D56" i="1" s="1"/>
  <c r="E50" i="1"/>
  <c r="E56" i="1" s="1"/>
  <c r="F50" i="1"/>
  <c r="F56" i="1" s="1"/>
  <c r="C50" i="1"/>
  <c r="C56" i="1" s="1"/>
  <c r="H16" i="1"/>
  <c r="H20" i="1" s="1"/>
  <c r="G16" i="1"/>
  <c r="G24" i="1" s="1"/>
  <c r="F16" i="1"/>
  <c r="F20" i="1" s="1"/>
  <c r="E16" i="1"/>
  <c r="E24" i="1" s="1"/>
  <c r="D16" i="1"/>
  <c r="D24" i="1" s="1"/>
  <c r="C16" i="1"/>
  <c r="C24" i="1" s="1"/>
  <c r="E112" i="1" l="1"/>
  <c r="G112" i="1" s="1"/>
  <c r="E114" i="1"/>
  <c r="G114" i="1" s="1"/>
  <c r="M55" i="1"/>
  <c r="M56" i="1"/>
  <c r="N53" i="1"/>
  <c r="L97" i="1"/>
  <c r="M94" i="1"/>
  <c r="N54" i="1"/>
  <c r="N55" i="1"/>
  <c r="L96" i="1"/>
  <c r="M95" i="1"/>
  <c r="M96" i="1"/>
  <c r="O96" i="1"/>
  <c r="O97" i="1"/>
  <c r="N56" i="1"/>
  <c r="L54" i="1"/>
  <c r="O54" i="1"/>
  <c r="N95" i="1"/>
  <c r="O53" i="1"/>
  <c r="L55" i="1"/>
  <c r="O55" i="1"/>
  <c r="N96" i="1"/>
  <c r="L53" i="1"/>
  <c r="N94" i="1"/>
  <c r="L56" i="1"/>
  <c r="O56" i="1"/>
  <c r="N97" i="1"/>
  <c r="M53" i="1"/>
  <c r="L94" i="1"/>
  <c r="O94" i="1"/>
  <c r="M97" i="1"/>
  <c r="M54" i="1"/>
  <c r="L95" i="1"/>
  <c r="O95" i="1"/>
  <c r="D97" i="1"/>
  <c r="E74" i="1"/>
  <c r="C76" i="1"/>
  <c r="F77" i="1"/>
  <c r="G77" i="1" s="1"/>
  <c r="C74" i="1"/>
  <c r="C98" i="1"/>
  <c r="G98" i="1" s="1"/>
  <c r="D95" i="1"/>
  <c r="C75" i="1"/>
  <c r="D96" i="1"/>
  <c r="E96" i="1"/>
  <c r="D53" i="1"/>
  <c r="D74" i="1"/>
  <c r="E53" i="1"/>
  <c r="D75" i="1"/>
  <c r="E95" i="1"/>
  <c r="E54" i="1"/>
  <c r="E55" i="1"/>
  <c r="E97" i="1"/>
  <c r="F74" i="1"/>
  <c r="C95" i="1"/>
  <c r="F95" i="1"/>
  <c r="D76" i="1"/>
  <c r="G56" i="1"/>
  <c r="F75" i="1"/>
  <c r="C96" i="1"/>
  <c r="F96" i="1"/>
  <c r="F97" i="1"/>
  <c r="E75" i="1"/>
  <c r="E76" i="1"/>
  <c r="C53" i="1"/>
  <c r="C54" i="1"/>
  <c r="F53" i="1"/>
  <c r="C55" i="1"/>
  <c r="F54" i="1"/>
  <c r="F55" i="1"/>
  <c r="D19" i="1"/>
  <c r="D54" i="1"/>
  <c r="D55" i="1"/>
  <c r="C22" i="1"/>
  <c r="E19" i="1"/>
  <c r="D23" i="1"/>
  <c r="E20" i="1"/>
  <c r="G20" i="1"/>
  <c r="E23" i="1"/>
  <c r="C20" i="1"/>
  <c r="F23" i="1"/>
  <c r="F24" i="1"/>
  <c r="C19" i="1"/>
  <c r="C21" i="1"/>
  <c r="D20" i="1"/>
  <c r="G23" i="1"/>
  <c r="F21" i="1"/>
  <c r="F22" i="1"/>
  <c r="G19" i="1"/>
  <c r="D22" i="1"/>
  <c r="H23" i="1"/>
  <c r="H21" i="1"/>
  <c r="D21" i="1"/>
  <c r="H22" i="1"/>
  <c r="C23" i="1"/>
  <c r="E21" i="1"/>
  <c r="G21" i="1"/>
  <c r="H24" i="1"/>
  <c r="E22" i="1"/>
  <c r="G22" i="1"/>
  <c r="F19" i="1"/>
  <c r="H19" i="1"/>
  <c r="I22" i="1" l="1"/>
  <c r="P94" i="1"/>
  <c r="P55" i="1"/>
  <c r="P56" i="1"/>
  <c r="P96" i="1"/>
  <c r="P53" i="1"/>
  <c r="P54" i="1"/>
  <c r="P97" i="1"/>
  <c r="P95" i="1"/>
  <c r="G74" i="1"/>
  <c r="G75" i="1"/>
  <c r="G76" i="1"/>
  <c r="G95" i="1"/>
  <c r="G97" i="1"/>
  <c r="G55" i="1"/>
  <c r="G96" i="1"/>
  <c r="G53" i="1"/>
  <c r="G54" i="1"/>
  <c r="I24" i="1"/>
  <c r="H31" i="1" s="1"/>
  <c r="I20" i="1"/>
  <c r="D30" i="1" s="1"/>
  <c r="I21" i="1"/>
  <c r="E32" i="1" s="1"/>
  <c r="I23" i="1"/>
  <c r="G32" i="1" s="1"/>
  <c r="F32" i="1"/>
  <c r="I19" i="1"/>
  <c r="C28" i="1" l="1"/>
  <c r="C135" i="1"/>
  <c r="C134" i="1"/>
  <c r="C136" i="1"/>
  <c r="C133" i="1"/>
  <c r="H32" i="1"/>
  <c r="H27" i="1"/>
  <c r="H28" i="1"/>
  <c r="H29" i="1"/>
  <c r="H30" i="1"/>
  <c r="D27" i="1"/>
  <c r="F27" i="1"/>
  <c r="F28" i="1"/>
  <c r="D29" i="1"/>
  <c r="F30" i="1"/>
  <c r="D32" i="1"/>
  <c r="F29" i="1"/>
  <c r="D31" i="1"/>
  <c r="F31" i="1"/>
  <c r="D28" i="1"/>
  <c r="G27" i="1"/>
  <c r="G28" i="1"/>
  <c r="E31" i="1"/>
  <c r="E30" i="1"/>
  <c r="G31" i="1"/>
  <c r="G29" i="1"/>
  <c r="C29" i="1"/>
  <c r="E28" i="1"/>
  <c r="G30" i="1"/>
  <c r="E27" i="1"/>
  <c r="E29" i="1"/>
  <c r="C31" i="1"/>
  <c r="C30" i="1"/>
  <c r="C32" i="1"/>
  <c r="C27" i="1"/>
  <c r="I28" i="1" l="1"/>
  <c r="J28" i="1" s="1"/>
  <c r="I27" i="1"/>
  <c r="J27" i="1" s="1"/>
  <c r="I32" i="1"/>
  <c r="J32" i="1" s="1"/>
  <c r="I30" i="1"/>
  <c r="J30" i="1" s="1"/>
  <c r="I31" i="1"/>
  <c r="J31" i="1" s="1"/>
  <c r="I29" i="1"/>
  <c r="J29" i="1" s="1"/>
  <c r="C34" i="1" l="1"/>
  <c r="C35" i="1" s="1"/>
  <c r="C36" i="1" s="1"/>
</calcChain>
</file>

<file path=xl/sharedStrings.xml><?xml version="1.0" encoding="utf-8"?>
<sst xmlns="http://schemas.openxmlformats.org/spreadsheetml/2006/main" count="230" uniqueCount="39">
  <si>
    <t>C1: Độ ẩm đất</t>
  </si>
  <si>
    <t>C2: Lượng mưa</t>
  </si>
  <si>
    <t>C3: Bốc thoát hơi nước  ET₀</t>
  </si>
  <si>
    <t>C4: Nhiệt độ</t>
  </si>
  <si>
    <t>C5: Độ ẩm không khí</t>
  </si>
  <si>
    <t>C6: Nắng/gió mùa khô</t>
  </si>
  <si>
    <t>C1</t>
  </si>
  <si>
    <t>C2</t>
  </si>
  <si>
    <t>C3</t>
  </si>
  <si>
    <t>C4</t>
  </si>
  <si>
    <t>C5</t>
  </si>
  <si>
    <t>C6</t>
  </si>
  <si>
    <t>P1</t>
  </si>
  <si>
    <t>P2</t>
  </si>
  <si>
    <t>P3</t>
  </si>
  <si>
    <t>P4</t>
  </si>
  <si>
    <t>SUM</t>
  </si>
  <si>
    <t>TS</t>
  </si>
  <si>
    <t>SUM_TS</t>
  </si>
  <si>
    <t>VECTO</t>
  </si>
  <si>
    <t>LAMDA</t>
  </si>
  <si>
    <t>CI</t>
  </si>
  <si>
    <t>CR</t>
  </si>
  <si>
    <t>ĐIỂM C1</t>
  </si>
  <si>
    <t>ĐIỂM C2</t>
  </si>
  <si>
    <t>ĐIỂM C3</t>
  </si>
  <si>
    <t>ĐIỂM C4</t>
  </si>
  <si>
    <t>ĐIỂM C6</t>
  </si>
  <si>
    <t>ĐIỂM C5</t>
  </si>
  <si>
    <t>BẢNG TỔNG HỢP</t>
  </si>
  <si>
    <t>PA1</t>
  </si>
  <si>
    <t>PA2</t>
  </si>
  <si>
    <t>PA3</t>
  </si>
  <si>
    <t>PA4</t>
  </si>
  <si>
    <t>BẢNG ĐÁNH GIÁ</t>
  </si>
  <si>
    <t>PHƯƠNG PHÁP</t>
  </si>
  <si>
    <t>ĐIỂM SỐ</t>
  </si>
  <si>
    <t>XẾP HÀNG ƯU TIÊN</t>
  </si>
  <si>
    <t>Xây dựng hệ hỗ trợ ra quyết định tưới tiêu cà phê dựa trên dự báo thời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</si>
</sst>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12" fontId="1" fillId="0" borderId="1" xfId="0" applyNumberFormat="1" applyFont="1" applyBorder="1" applyAlignment="1">
      <alignment vertical="center"/>
    </xf>
    <xf numFmtId="12" fontId="1" fillId="0" borderId="1" xfId="0" applyNumberFormat="1" applyFont="1" applyBorder="1" applyAlignment="1">
      <alignment vertical="center" wrapText="1"/>
    </xf>
    <xf numFmtId="12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 wrapText="1"/>
    </xf>
    <xf numFmtId="43" fontId="1" fillId="0" borderId="1" xfId="0" applyNumberFormat="1" applyFont="1" applyBorder="1" applyAlignment="1">
      <alignment horizontal="right" vertical="center" wrapText="1"/>
    </xf>
    <xf numFmtId="43" fontId="1" fillId="0" borderId="1" xfId="0" applyNumberFormat="1" applyFont="1" applyBorder="1" applyAlignment="1">
      <alignment vertical="center"/>
    </xf>
    <xf numFmtId="43" fontId="1" fillId="0" borderId="0" xfId="0" applyNumberFormat="1" applyFont="1" applyAlignment="1">
      <alignment vertical="center"/>
    </xf>
    <xf numFmtId="43" fontId="1" fillId="2" borderId="1" xfId="0" applyNumberFormat="1" applyFont="1" applyFill="1" applyBorder="1" applyAlignment="1">
      <alignment vertical="center"/>
    </xf>
    <xf numFmtId="1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428-F59A-4344-8CE2-57D3D0F24B6C}">
  <dimension ref="A1:R136"/>
  <sheetViews>
    <sheetView tabSelected="1" zoomScale="73" zoomScaleNormal="73" workbookViewId="0">
      <selection activeCell="L18" sqref="L18"/>
    </sheetView>
  </sheetViews>
  <sheetFormatPr defaultRowHeight="13.8" x14ac:dyDescent="0.3"/>
  <cols>
    <col min="1" max="1" width="8.88671875" style="1"/>
    <col min="2" max="2" width="20.109375" style="1" customWidth="1"/>
    <col min="3" max="3" width="9.77734375" style="1" bestFit="1" customWidth="1"/>
    <col min="4" max="4" width="16.21875" style="1" customWidth="1"/>
    <col min="5" max="5" width="19.5546875" style="1" customWidth="1"/>
    <col min="6" max="6" width="9.77734375" style="1" bestFit="1" customWidth="1"/>
    <col min="7" max="7" width="11.88671875" style="1" customWidth="1"/>
    <col min="8" max="8" width="15" style="1" customWidth="1"/>
    <col min="9" max="14" width="8.88671875" style="1"/>
    <col min="15" max="15" width="9" style="1" bestFit="1" customWidth="1"/>
    <col min="16" max="16" width="10.88671875" style="1" bestFit="1" customWidth="1"/>
    <col min="17" max="16384" width="8.88671875" style="1"/>
  </cols>
  <sheetData>
    <row r="1" spans="1:18" ht="64.8" customHeight="1" x14ac:dyDescent="0.3">
      <c r="A1" s="19" t="s">
        <v>38</v>
      </c>
      <c r="B1" s="20"/>
      <c r="C1" s="20"/>
      <c r="D1" s="20"/>
      <c r="E1" s="20"/>
      <c r="F1" s="20"/>
      <c r="G1" s="20"/>
      <c r="H1" s="20"/>
      <c r="I1" s="20"/>
      <c r="N1" s="17"/>
      <c r="O1" s="17"/>
      <c r="P1" s="17"/>
      <c r="Q1" s="17"/>
      <c r="R1" s="17"/>
    </row>
    <row r="2" spans="1:18" ht="15.6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N2" s="2" t="s">
        <v>6</v>
      </c>
      <c r="O2" s="2" t="s">
        <v>12</v>
      </c>
      <c r="P2" s="2" t="s">
        <v>13</v>
      </c>
      <c r="Q2" s="2" t="s">
        <v>14</v>
      </c>
      <c r="R2" s="2" t="s">
        <v>15</v>
      </c>
    </row>
    <row r="3" spans="1:18" ht="15.6" x14ac:dyDescent="0.3">
      <c r="A3" s="18" t="s">
        <v>1</v>
      </c>
      <c r="B3" s="18"/>
      <c r="C3" s="18"/>
      <c r="D3" s="18"/>
      <c r="E3" s="18"/>
      <c r="F3" s="18"/>
      <c r="G3" s="18"/>
      <c r="H3" s="18"/>
      <c r="I3" s="18"/>
      <c r="N3" s="2" t="s">
        <v>12</v>
      </c>
      <c r="O3" s="2">
        <v>1</v>
      </c>
      <c r="P3" s="2">
        <v>0.33333333333333331</v>
      </c>
      <c r="Q3" s="2">
        <v>0.2</v>
      </c>
      <c r="R3" s="2">
        <v>0.14285714285714285</v>
      </c>
    </row>
    <row r="4" spans="1:18" ht="15.6" x14ac:dyDescent="0.3">
      <c r="A4" s="18" t="s">
        <v>2</v>
      </c>
      <c r="B4" s="18"/>
      <c r="C4" s="18"/>
      <c r="D4" s="18"/>
      <c r="E4" s="18"/>
      <c r="F4" s="18"/>
      <c r="G4" s="18"/>
      <c r="H4" s="18"/>
      <c r="I4" s="18"/>
      <c r="N4" s="2" t="s">
        <v>13</v>
      </c>
      <c r="O4" s="2">
        <v>3</v>
      </c>
      <c r="P4" s="2">
        <v>1</v>
      </c>
      <c r="Q4" s="2">
        <v>0.33333333333333331</v>
      </c>
      <c r="R4" s="2">
        <v>0.2</v>
      </c>
    </row>
    <row r="5" spans="1:18" ht="15.6" x14ac:dyDescent="0.3">
      <c r="A5" s="18" t="s">
        <v>3</v>
      </c>
      <c r="B5" s="18"/>
      <c r="C5" s="18"/>
      <c r="D5" s="18"/>
      <c r="E5" s="18"/>
      <c r="F5" s="18"/>
      <c r="G5" s="18"/>
      <c r="H5" s="18"/>
      <c r="I5" s="18"/>
      <c r="N5" s="2" t="s">
        <v>14</v>
      </c>
      <c r="O5" s="2">
        <v>5</v>
      </c>
      <c r="P5" s="2">
        <v>3</v>
      </c>
      <c r="Q5" s="2">
        <v>1</v>
      </c>
      <c r="R5" s="2">
        <v>0.33333333333333331</v>
      </c>
    </row>
    <row r="6" spans="1:18" ht="15.6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N6" s="2" t="s">
        <v>15</v>
      </c>
      <c r="O6" s="2">
        <v>7</v>
      </c>
      <c r="P6" s="2">
        <v>5</v>
      </c>
      <c r="Q6" s="2">
        <v>3</v>
      </c>
      <c r="R6" s="2">
        <v>1</v>
      </c>
    </row>
    <row r="7" spans="1:18" ht="15.6" x14ac:dyDescent="0.3">
      <c r="A7" s="18" t="s">
        <v>5</v>
      </c>
      <c r="B7" s="18"/>
      <c r="C7" s="18"/>
      <c r="D7" s="18"/>
      <c r="E7" s="18"/>
      <c r="F7" s="18"/>
      <c r="G7" s="18"/>
      <c r="H7" s="18"/>
      <c r="I7" s="18"/>
    </row>
    <row r="8" spans="1:18" x14ac:dyDescent="0.3">
      <c r="N8" s="2" t="s">
        <v>7</v>
      </c>
      <c r="O8" s="2" t="s">
        <v>12</v>
      </c>
      <c r="P8" s="2" t="s">
        <v>13</v>
      </c>
      <c r="Q8" s="2" t="s">
        <v>14</v>
      </c>
      <c r="R8" s="2" t="s">
        <v>15</v>
      </c>
    </row>
    <row r="9" spans="1:18" x14ac:dyDescent="0.3">
      <c r="B9" s="3"/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N9" s="2" t="s">
        <v>12</v>
      </c>
      <c r="O9" s="2">
        <v>1</v>
      </c>
      <c r="P9" s="2">
        <v>3</v>
      </c>
      <c r="Q9" s="2">
        <v>5</v>
      </c>
      <c r="R9" s="2">
        <v>7</v>
      </c>
    </row>
    <row r="10" spans="1:18" x14ac:dyDescent="0.3">
      <c r="B10" s="3" t="s">
        <v>6</v>
      </c>
      <c r="C10" s="4">
        <v>1</v>
      </c>
      <c r="D10" s="4">
        <v>3</v>
      </c>
      <c r="E10" s="4">
        <v>1</v>
      </c>
      <c r="F10" s="4">
        <v>2</v>
      </c>
      <c r="G10" s="4">
        <v>4</v>
      </c>
      <c r="H10" s="4">
        <v>2</v>
      </c>
      <c r="N10" s="2" t="s">
        <v>13</v>
      </c>
      <c r="O10" s="2">
        <v>0.33333333333333331</v>
      </c>
      <c r="P10" s="2">
        <v>1</v>
      </c>
      <c r="Q10" s="2">
        <v>3</v>
      </c>
      <c r="R10" s="2">
        <v>5</v>
      </c>
    </row>
    <row r="11" spans="1:18" x14ac:dyDescent="0.3">
      <c r="B11" s="3" t="s">
        <v>7</v>
      </c>
      <c r="C11" s="4">
        <v>0.33333333333333331</v>
      </c>
      <c r="D11" s="4">
        <v>1</v>
      </c>
      <c r="E11" s="4">
        <v>0.5</v>
      </c>
      <c r="F11" s="4">
        <v>1</v>
      </c>
      <c r="G11" s="4">
        <v>2</v>
      </c>
      <c r="H11" s="4">
        <v>0.5</v>
      </c>
      <c r="N11" s="2" t="s">
        <v>14</v>
      </c>
      <c r="O11" s="2">
        <v>0.2</v>
      </c>
      <c r="P11" s="2">
        <v>0.33333333333333331</v>
      </c>
      <c r="Q11" s="2">
        <v>1</v>
      </c>
      <c r="R11" s="2">
        <v>3</v>
      </c>
    </row>
    <row r="12" spans="1:18" x14ac:dyDescent="0.3">
      <c r="B12" s="3" t="s">
        <v>8</v>
      </c>
      <c r="C12" s="4">
        <v>1</v>
      </c>
      <c r="D12" s="4">
        <v>2</v>
      </c>
      <c r="E12" s="4">
        <v>1</v>
      </c>
      <c r="F12" s="4">
        <v>2</v>
      </c>
      <c r="G12" s="4">
        <v>3</v>
      </c>
      <c r="H12" s="4">
        <v>2</v>
      </c>
      <c r="N12" s="2" t="s">
        <v>15</v>
      </c>
      <c r="O12" s="2">
        <v>0.14285714285714285</v>
      </c>
      <c r="P12" s="2">
        <v>0.2</v>
      </c>
      <c r="Q12" s="2">
        <v>0.33333333333333331</v>
      </c>
      <c r="R12" s="2">
        <v>1</v>
      </c>
    </row>
    <row r="13" spans="1:18" x14ac:dyDescent="0.3">
      <c r="B13" s="3" t="s">
        <v>9</v>
      </c>
      <c r="C13" s="4">
        <v>0.5</v>
      </c>
      <c r="D13" s="4">
        <v>1</v>
      </c>
      <c r="E13" s="4">
        <v>0.5</v>
      </c>
      <c r="F13" s="4">
        <v>1</v>
      </c>
      <c r="G13" s="4">
        <v>2</v>
      </c>
      <c r="H13" s="4">
        <v>1</v>
      </c>
    </row>
    <row r="14" spans="1:18" x14ac:dyDescent="0.3">
      <c r="B14" s="3" t="s">
        <v>10</v>
      </c>
      <c r="C14" s="4">
        <v>0.25</v>
      </c>
      <c r="D14" s="4">
        <v>0.5</v>
      </c>
      <c r="E14" s="4">
        <v>0.33333333333333331</v>
      </c>
      <c r="F14" s="4">
        <v>0.5</v>
      </c>
      <c r="G14" s="4">
        <v>1</v>
      </c>
      <c r="H14" s="4">
        <v>0.5</v>
      </c>
      <c r="N14" s="2" t="s">
        <v>8</v>
      </c>
      <c r="O14" s="2" t="s">
        <v>12</v>
      </c>
      <c r="P14" s="2" t="s">
        <v>13</v>
      </c>
      <c r="Q14" s="2" t="s">
        <v>14</v>
      </c>
      <c r="R14" s="2" t="s">
        <v>15</v>
      </c>
    </row>
    <row r="15" spans="1:18" x14ac:dyDescent="0.3">
      <c r="B15" s="3" t="s">
        <v>11</v>
      </c>
      <c r="C15" s="4">
        <v>0.5</v>
      </c>
      <c r="D15" s="4">
        <v>2</v>
      </c>
      <c r="E15" s="4">
        <v>0.5</v>
      </c>
      <c r="F15" s="4">
        <v>1</v>
      </c>
      <c r="G15" s="4">
        <v>2</v>
      </c>
      <c r="H15" s="4">
        <v>1</v>
      </c>
      <c r="N15" s="2" t="s">
        <v>12</v>
      </c>
      <c r="O15" s="2">
        <v>1</v>
      </c>
      <c r="P15" s="2">
        <v>0.25</v>
      </c>
      <c r="Q15" s="2">
        <v>0.16666666666666666</v>
      </c>
      <c r="R15" s="2">
        <v>0.125</v>
      </c>
    </row>
    <row r="16" spans="1:18" x14ac:dyDescent="0.3">
      <c r="B16" s="5" t="s">
        <v>16</v>
      </c>
      <c r="C16" s="6">
        <f t="shared" ref="C16:H16" si="0">SUM(C10:C15)</f>
        <v>3.583333333333333</v>
      </c>
      <c r="D16" s="6">
        <f t="shared" si="0"/>
        <v>9.5</v>
      </c>
      <c r="E16" s="6">
        <f t="shared" si="0"/>
        <v>3.8333333333333335</v>
      </c>
      <c r="F16" s="6">
        <f t="shared" si="0"/>
        <v>7.5</v>
      </c>
      <c r="G16" s="2">
        <f t="shared" si="0"/>
        <v>14</v>
      </c>
      <c r="H16" s="2">
        <f t="shared" si="0"/>
        <v>7</v>
      </c>
      <c r="N16" s="2" t="s">
        <v>13</v>
      </c>
      <c r="O16" s="2">
        <v>4</v>
      </c>
      <c r="P16" s="2">
        <v>1</v>
      </c>
      <c r="Q16" s="2">
        <v>0.33333333333333331</v>
      </c>
      <c r="R16" s="2">
        <v>0.2</v>
      </c>
    </row>
    <row r="17" spans="2:18" x14ac:dyDescent="0.3">
      <c r="N17" s="2" t="s">
        <v>14</v>
      </c>
      <c r="O17" s="2">
        <v>6</v>
      </c>
      <c r="P17" s="2">
        <v>3</v>
      </c>
      <c r="Q17" s="2">
        <v>1</v>
      </c>
      <c r="R17" s="2">
        <v>0.33333333333333331</v>
      </c>
    </row>
    <row r="18" spans="2:18" x14ac:dyDescent="0.3">
      <c r="B18" s="3"/>
      <c r="C18" s="3" t="s">
        <v>6</v>
      </c>
      <c r="D18" s="3" t="s">
        <v>7</v>
      </c>
      <c r="E18" s="3" t="s">
        <v>8</v>
      </c>
      <c r="F18" s="3" t="s">
        <v>9</v>
      </c>
      <c r="G18" s="3" t="s">
        <v>10</v>
      </c>
      <c r="H18" s="3" t="s">
        <v>11</v>
      </c>
      <c r="I18" s="5" t="s">
        <v>17</v>
      </c>
      <c r="N18" s="2" t="s">
        <v>15</v>
      </c>
      <c r="O18" s="2">
        <v>8</v>
      </c>
      <c r="P18" s="2">
        <v>5</v>
      </c>
      <c r="Q18" s="2">
        <v>3</v>
      </c>
      <c r="R18" s="2">
        <v>1</v>
      </c>
    </row>
    <row r="19" spans="2:18" x14ac:dyDescent="0.3">
      <c r="B19" s="3" t="s">
        <v>6</v>
      </c>
      <c r="C19" s="7">
        <f t="shared" ref="C19:H19" si="1">C10/C16</f>
        <v>0.27906976744186046</v>
      </c>
      <c r="D19" s="7">
        <f t="shared" si="1"/>
        <v>0.31578947368421051</v>
      </c>
      <c r="E19" s="7">
        <f t="shared" si="1"/>
        <v>0.2608695652173913</v>
      </c>
      <c r="F19" s="7">
        <f t="shared" si="1"/>
        <v>0.26666666666666666</v>
      </c>
      <c r="G19" s="7">
        <f t="shared" si="1"/>
        <v>0.2857142857142857</v>
      </c>
      <c r="H19" s="7">
        <f t="shared" si="1"/>
        <v>0.2857142857142857</v>
      </c>
      <c r="I19" s="11">
        <f t="shared" ref="I19:I24" si="2">SUM(C19:H19)/6</f>
        <v>0.28230400740645001</v>
      </c>
    </row>
    <row r="20" spans="2:18" x14ac:dyDescent="0.3">
      <c r="B20" s="3" t="s">
        <v>7</v>
      </c>
      <c r="C20" s="7">
        <f t="shared" ref="C20:H20" si="3">C11/C16</f>
        <v>9.3023255813953487E-2</v>
      </c>
      <c r="D20" s="7">
        <f t="shared" si="3"/>
        <v>0.10526315789473684</v>
      </c>
      <c r="E20" s="7">
        <f t="shared" si="3"/>
        <v>0.13043478260869565</v>
      </c>
      <c r="F20" s="8">
        <f t="shared" si="3"/>
        <v>0.13333333333333333</v>
      </c>
      <c r="G20" s="7">
        <f t="shared" si="3"/>
        <v>0.14285714285714285</v>
      </c>
      <c r="H20" s="7">
        <f t="shared" si="3"/>
        <v>7.1428571428571425E-2</v>
      </c>
      <c r="I20" s="11">
        <f t="shared" si="2"/>
        <v>0.11272337398940557</v>
      </c>
      <c r="N20" s="2" t="s">
        <v>9</v>
      </c>
      <c r="O20" s="2" t="s">
        <v>12</v>
      </c>
      <c r="P20" s="2" t="s">
        <v>13</v>
      </c>
      <c r="Q20" s="2" t="s">
        <v>14</v>
      </c>
      <c r="R20" s="2" t="s">
        <v>15</v>
      </c>
    </row>
    <row r="21" spans="2:18" x14ac:dyDescent="0.3">
      <c r="B21" s="3" t="s">
        <v>8</v>
      </c>
      <c r="C21" s="7">
        <f t="shared" ref="C21:H21" si="4">C12/C16</f>
        <v>0.27906976744186046</v>
      </c>
      <c r="D21" s="7">
        <f t="shared" si="4"/>
        <v>0.21052631578947367</v>
      </c>
      <c r="E21" s="7">
        <f t="shared" si="4"/>
        <v>0.2608695652173913</v>
      </c>
      <c r="F21" s="7">
        <f t="shared" si="4"/>
        <v>0.26666666666666666</v>
      </c>
      <c r="G21" s="7">
        <f t="shared" si="4"/>
        <v>0.21428571428571427</v>
      </c>
      <c r="H21" s="7">
        <f t="shared" si="4"/>
        <v>0.2857142857142857</v>
      </c>
      <c r="I21" s="11">
        <f t="shared" si="2"/>
        <v>0.25285538585256534</v>
      </c>
      <c r="N21" s="2" t="s">
        <v>12</v>
      </c>
      <c r="O21" s="2">
        <v>1</v>
      </c>
      <c r="P21" s="2">
        <v>0.33333333333333331</v>
      </c>
      <c r="Q21" s="2">
        <v>0.2</v>
      </c>
      <c r="R21" s="2">
        <v>0.14285714285714285</v>
      </c>
    </row>
    <row r="22" spans="2:18" x14ac:dyDescent="0.3">
      <c r="B22" s="3" t="s">
        <v>9</v>
      </c>
      <c r="C22" s="7">
        <f t="shared" ref="C22:H22" si="5">C13/C16</f>
        <v>0.13953488372093023</v>
      </c>
      <c r="D22" s="7">
        <f t="shared" si="5"/>
        <v>0.10526315789473684</v>
      </c>
      <c r="E22" s="7">
        <f t="shared" si="5"/>
        <v>0.13043478260869565</v>
      </c>
      <c r="F22" s="7">
        <f t="shared" si="5"/>
        <v>0.13333333333333333</v>
      </c>
      <c r="G22" s="7">
        <f t="shared" si="5"/>
        <v>0.14285714285714285</v>
      </c>
      <c r="H22" s="7">
        <f t="shared" si="5"/>
        <v>0.14285714285714285</v>
      </c>
      <c r="I22" s="11">
        <f t="shared" si="2"/>
        <v>0.1323800738786636</v>
      </c>
      <c r="N22" s="2" t="s">
        <v>13</v>
      </c>
      <c r="O22" s="2">
        <v>3</v>
      </c>
      <c r="P22" s="2">
        <v>1</v>
      </c>
      <c r="Q22" s="2">
        <v>0.33333333333333331</v>
      </c>
      <c r="R22" s="2">
        <v>0.2</v>
      </c>
    </row>
    <row r="23" spans="2:18" x14ac:dyDescent="0.3">
      <c r="B23" s="3" t="s">
        <v>10</v>
      </c>
      <c r="C23" s="7">
        <f t="shared" ref="C23:H23" si="6">C14/C16</f>
        <v>6.9767441860465115E-2</v>
      </c>
      <c r="D23" s="7">
        <f t="shared" si="6"/>
        <v>5.2631578947368418E-2</v>
      </c>
      <c r="E23" s="7">
        <f t="shared" si="6"/>
        <v>8.6956521739130432E-2</v>
      </c>
      <c r="F23" s="7">
        <f t="shared" si="6"/>
        <v>6.6666666666666666E-2</v>
      </c>
      <c r="G23" s="7">
        <f t="shared" si="6"/>
        <v>7.1428571428571425E-2</v>
      </c>
      <c r="H23" s="7">
        <f t="shared" si="6"/>
        <v>7.1428571428571425E-2</v>
      </c>
      <c r="I23" s="11">
        <f t="shared" si="2"/>
        <v>6.9813225345128904E-2</v>
      </c>
      <c r="N23" s="2" t="s">
        <v>14</v>
      </c>
      <c r="O23" s="2">
        <v>5</v>
      </c>
      <c r="P23" s="2">
        <v>3</v>
      </c>
      <c r="Q23" s="2">
        <v>1</v>
      </c>
      <c r="R23" s="2">
        <v>0.33333333333333331</v>
      </c>
    </row>
    <row r="24" spans="2:18" x14ac:dyDescent="0.3">
      <c r="B24" s="3" t="s">
        <v>11</v>
      </c>
      <c r="C24" s="7">
        <f t="shared" ref="C24:H24" si="7">C15/C16</f>
        <v>0.13953488372093023</v>
      </c>
      <c r="D24" s="7">
        <f t="shared" si="7"/>
        <v>0.21052631578947367</v>
      </c>
      <c r="E24" s="7">
        <f t="shared" si="7"/>
        <v>0.13043478260869565</v>
      </c>
      <c r="F24" s="7">
        <f t="shared" si="7"/>
        <v>0.13333333333333333</v>
      </c>
      <c r="G24" s="7">
        <f t="shared" si="7"/>
        <v>0.14285714285714285</v>
      </c>
      <c r="H24" s="7">
        <f t="shared" si="7"/>
        <v>0.14285714285714285</v>
      </c>
      <c r="I24" s="11">
        <f t="shared" si="2"/>
        <v>0.14992393352778643</v>
      </c>
      <c r="N24" s="2" t="s">
        <v>15</v>
      </c>
      <c r="O24" s="2">
        <v>7</v>
      </c>
      <c r="P24" s="2">
        <v>5</v>
      </c>
      <c r="Q24" s="2">
        <v>3</v>
      </c>
      <c r="R24" s="2">
        <v>1</v>
      </c>
    </row>
    <row r="25" spans="2:18" x14ac:dyDescent="0.3">
      <c r="I25" s="10"/>
    </row>
    <row r="26" spans="2:18" x14ac:dyDescent="0.3">
      <c r="B26" s="3"/>
      <c r="C26" s="3" t="s">
        <v>6</v>
      </c>
      <c r="D26" s="3" t="s">
        <v>7</v>
      </c>
      <c r="E26" s="3" t="s">
        <v>8</v>
      </c>
      <c r="F26" s="3" t="s">
        <v>9</v>
      </c>
      <c r="G26" s="3" t="s">
        <v>10</v>
      </c>
      <c r="H26" s="3" t="s">
        <v>11</v>
      </c>
      <c r="I26" s="5" t="s">
        <v>18</v>
      </c>
      <c r="J26" s="5" t="s">
        <v>19</v>
      </c>
      <c r="N26" s="2" t="s">
        <v>10</v>
      </c>
      <c r="O26" s="2" t="s">
        <v>12</v>
      </c>
      <c r="P26" s="2" t="s">
        <v>13</v>
      </c>
      <c r="Q26" s="2" t="s">
        <v>14</v>
      </c>
      <c r="R26" s="2" t="s">
        <v>15</v>
      </c>
    </row>
    <row r="27" spans="2:18" x14ac:dyDescent="0.3">
      <c r="B27" s="3" t="s">
        <v>6</v>
      </c>
      <c r="C27" s="7">
        <f>(I19)*C10</f>
        <v>0.28230400740645001</v>
      </c>
      <c r="D27" s="7">
        <f>I20*D10</f>
        <v>0.33817012196821672</v>
      </c>
      <c r="E27" s="7">
        <f>I21*E10</f>
        <v>0.25285538585256534</v>
      </c>
      <c r="F27" s="7">
        <f>I22*F10</f>
        <v>0.2647601477573272</v>
      </c>
      <c r="G27" s="7">
        <f>I23*G10</f>
        <v>0.27925290138051562</v>
      </c>
      <c r="H27" s="7">
        <f>I24*H10</f>
        <v>0.29984786705557287</v>
      </c>
      <c r="I27" s="6">
        <f>SUM(C27:H27)</f>
        <v>1.7171904314206476</v>
      </c>
      <c r="J27" s="5">
        <f t="shared" ref="J27:J32" si="8">I27/I19</f>
        <v>6.0827702985749887</v>
      </c>
      <c r="N27" s="2" t="s">
        <v>12</v>
      </c>
      <c r="O27" s="2">
        <v>1</v>
      </c>
      <c r="P27" s="2">
        <v>2</v>
      </c>
      <c r="Q27" s="2">
        <v>4</v>
      </c>
      <c r="R27" s="2">
        <v>6</v>
      </c>
    </row>
    <row r="28" spans="2:18" x14ac:dyDescent="0.3">
      <c r="B28" s="3" t="s">
        <v>7</v>
      </c>
      <c r="C28" s="7">
        <f>(I19)*C11</f>
        <v>9.4101335802149993E-2</v>
      </c>
      <c r="D28" s="7">
        <f>I20*D11</f>
        <v>0.11272337398940557</v>
      </c>
      <c r="E28" s="7">
        <f>I21*E11</f>
        <v>0.12642769292628267</v>
      </c>
      <c r="F28" s="8">
        <f>I22*F11</f>
        <v>0.1323800738786636</v>
      </c>
      <c r="G28" s="7">
        <f>I23*G11</f>
        <v>0.13962645069025781</v>
      </c>
      <c r="H28" s="7">
        <f>I24*H11</f>
        <v>7.4961966763893217E-2</v>
      </c>
      <c r="I28" s="6">
        <f t="shared" ref="I28:I32" si="9">SUM(C28:H28)</f>
        <v>0.68022089405065289</v>
      </c>
      <c r="J28" s="5">
        <f t="shared" si="8"/>
        <v>6.0344263126348947</v>
      </c>
      <c r="N28" s="2" t="s">
        <v>13</v>
      </c>
      <c r="O28" s="2">
        <v>0.5</v>
      </c>
      <c r="P28" s="2">
        <v>1</v>
      </c>
      <c r="Q28" s="2">
        <v>2</v>
      </c>
      <c r="R28" s="2">
        <v>4</v>
      </c>
    </row>
    <row r="29" spans="2:18" x14ac:dyDescent="0.3">
      <c r="B29" s="3" t="s">
        <v>8</v>
      </c>
      <c r="C29" s="7">
        <f>I19*C12</f>
        <v>0.28230400740645001</v>
      </c>
      <c r="D29" s="7">
        <f>I20*D12</f>
        <v>0.22544674797881115</v>
      </c>
      <c r="E29" s="7">
        <f>I21*E12</f>
        <v>0.25285538585256534</v>
      </c>
      <c r="F29" s="7">
        <f>I22*F12</f>
        <v>0.2647601477573272</v>
      </c>
      <c r="G29" s="7">
        <f>I23*G12</f>
        <v>0.20943967603538671</v>
      </c>
      <c r="H29" s="7">
        <f>I24*H12</f>
        <v>0.29984786705557287</v>
      </c>
      <c r="I29" s="6">
        <f t="shared" si="9"/>
        <v>1.5346538320861132</v>
      </c>
      <c r="J29" s="5">
        <f t="shared" si="8"/>
        <v>6.0692946164134209</v>
      </c>
      <c r="N29" s="2" t="s">
        <v>14</v>
      </c>
      <c r="O29" s="2">
        <v>0.25</v>
      </c>
      <c r="P29" s="2">
        <v>0.5</v>
      </c>
      <c r="Q29" s="2">
        <v>1</v>
      </c>
      <c r="R29" s="2">
        <v>2</v>
      </c>
    </row>
    <row r="30" spans="2:18" x14ac:dyDescent="0.3">
      <c r="B30" s="3" t="s">
        <v>9</v>
      </c>
      <c r="C30" s="7">
        <f>I19*C13</f>
        <v>0.141152003703225</v>
      </c>
      <c r="D30" s="7">
        <f>I20*D13</f>
        <v>0.11272337398940557</v>
      </c>
      <c r="E30" s="7">
        <f>I21*E13</f>
        <v>0.12642769292628267</v>
      </c>
      <c r="F30" s="7">
        <f>I22*F13</f>
        <v>0.1323800738786636</v>
      </c>
      <c r="G30" s="7">
        <f>I23*G13</f>
        <v>0.13962645069025781</v>
      </c>
      <c r="H30" s="7">
        <f>I24*H13</f>
        <v>0.14992393352778643</v>
      </c>
      <c r="I30" s="6">
        <f t="shared" si="9"/>
        <v>0.80223352871562104</v>
      </c>
      <c r="J30" s="5">
        <f t="shared" si="8"/>
        <v>6.0600776628280855</v>
      </c>
      <c r="N30" s="2" t="s">
        <v>15</v>
      </c>
      <c r="O30" s="2">
        <v>0.16666666666666666</v>
      </c>
      <c r="P30" s="2">
        <v>0.25</v>
      </c>
      <c r="Q30" s="2">
        <v>0.5</v>
      </c>
      <c r="R30" s="2">
        <v>1</v>
      </c>
    </row>
    <row r="31" spans="2:18" x14ac:dyDescent="0.3">
      <c r="B31" s="3" t="s">
        <v>10</v>
      </c>
      <c r="C31" s="7">
        <f>I19*C14</f>
        <v>7.0576001851612502E-2</v>
      </c>
      <c r="D31" s="7">
        <f>I20*D14</f>
        <v>5.6361686994702787E-2</v>
      </c>
      <c r="E31" s="7">
        <f>I21*E14</f>
        <v>8.4285128617521771E-2</v>
      </c>
      <c r="F31" s="7">
        <f>I22*F14</f>
        <v>6.6190036939331801E-2</v>
      </c>
      <c r="G31" s="7">
        <f>I23*G14</f>
        <v>6.9813225345128904E-2</v>
      </c>
      <c r="H31" s="7">
        <f>I24*H14</f>
        <v>7.4961966763893217E-2</v>
      </c>
      <c r="I31" s="6">
        <f t="shared" si="9"/>
        <v>0.422188046512191</v>
      </c>
      <c r="J31" s="5">
        <f t="shared" si="8"/>
        <v>6.0473935192803472</v>
      </c>
    </row>
    <row r="32" spans="2:18" x14ac:dyDescent="0.3">
      <c r="B32" s="3" t="s">
        <v>11</v>
      </c>
      <c r="C32" s="7">
        <f>I19*C15</f>
        <v>0.141152003703225</v>
      </c>
      <c r="D32" s="7">
        <f>I20*D15</f>
        <v>0.22544674797881115</v>
      </c>
      <c r="E32" s="7">
        <f>I21*E15</f>
        <v>0.12642769292628267</v>
      </c>
      <c r="F32" s="7">
        <f>I22*F15</f>
        <v>0.1323800738786636</v>
      </c>
      <c r="G32" s="7">
        <f>I23*G15</f>
        <v>0.13962645069025781</v>
      </c>
      <c r="H32" s="7">
        <f>I24*H15</f>
        <v>0.14992393352778643</v>
      </c>
      <c r="I32" s="6">
        <f t="shared" si="9"/>
        <v>0.91495690270502661</v>
      </c>
      <c r="J32" s="5">
        <f t="shared" si="8"/>
        <v>6.1028074782699813</v>
      </c>
      <c r="N32" s="2" t="s">
        <v>11</v>
      </c>
      <c r="O32" s="2" t="s">
        <v>12</v>
      </c>
      <c r="P32" s="2" t="s">
        <v>13</v>
      </c>
      <c r="Q32" s="2" t="s">
        <v>14</v>
      </c>
      <c r="R32" s="2" t="s">
        <v>15</v>
      </c>
    </row>
    <row r="33" spans="2:18" x14ac:dyDescent="0.3">
      <c r="N33" s="2" t="s">
        <v>12</v>
      </c>
      <c r="O33" s="2">
        <v>1</v>
      </c>
      <c r="P33" s="2">
        <v>0.25</v>
      </c>
      <c r="Q33" s="2">
        <v>0.16666666666666666</v>
      </c>
      <c r="R33" s="2">
        <v>0.125</v>
      </c>
    </row>
    <row r="34" spans="2:18" x14ac:dyDescent="0.3">
      <c r="B34" s="1" t="s">
        <v>20</v>
      </c>
      <c r="C34" s="1">
        <f>SUM(J27:J32)/6</f>
        <v>6.0661283146669538</v>
      </c>
      <c r="N34" s="2" t="s">
        <v>13</v>
      </c>
      <c r="O34" s="2">
        <v>4</v>
      </c>
      <c r="P34" s="2">
        <v>1</v>
      </c>
      <c r="Q34" s="2">
        <v>0.33333333333333331</v>
      </c>
      <c r="R34" s="2">
        <v>0.2</v>
      </c>
    </row>
    <row r="35" spans="2:18" x14ac:dyDescent="0.3">
      <c r="B35" s="1" t="s">
        <v>21</v>
      </c>
      <c r="C35" s="1">
        <f>(C34-6)/5</f>
        <v>1.3225662933390758E-2</v>
      </c>
      <c r="N35" s="2" t="s">
        <v>14</v>
      </c>
      <c r="O35" s="2">
        <v>6</v>
      </c>
      <c r="P35" s="2">
        <v>3</v>
      </c>
      <c r="Q35" s="2">
        <v>1</v>
      </c>
      <c r="R35" s="2">
        <v>0.33333333333333331</v>
      </c>
    </row>
    <row r="36" spans="2:18" x14ac:dyDescent="0.3">
      <c r="B36" s="1" t="s">
        <v>22</v>
      </c>
      <c r="C36" s="1">
        <f>C35/1.24</f>
        <v>1.0665857204347385E-2</v>
      </c>
      <c r="N36" s="2" t="s">
        <v>15</v>
      </c>
      <c r="O36" s="2">
        <v>8</v>
      </c>
      <c r="P36" s="2">
        <v>5</v>
      </c>
      <c r="Q36" s="2">
        <v>3</v>
      </c>
      <c r="R36" s="2">
        <v>1</v>
      </c>
    </row>
    <row r="37" spans="2:18" x14ac:dyDescent="0.3">
      <c r="N37" s="12"/>
      <c r="O37" s="12"/>
      <c r="P37" s="12"/>
      <c r="Q37" s="12"/>
      <c r="R37" s="12"/>
    </row>
    <row r="38" spans="2:18" x14ac:dyDescent="0.3">
      <c r="N38" s="12"/>
      <c r="O38" s="12"/>
      <c r="P38" s="12"/>
      <c r="Q38" s="12"/>
      <c r="R38" s="12"/>
    </row>
    <row r="39" spans="2:18" x14ac:dyDescent="0.3">
      <c r="N39" s="12"/>
      <c r="O39" s="12"/>
      <c r="P39" s="12"/>
      <c r="Q39" s="12"/>
      <c r="R39" s="12"/>
    </row>
    <row r="40" spans="2:18" x14ac:dyDescent="0.3">
      <c r="N40" s="12"/>
      <c r="O40" s="12"/>
      <c r="P40" s="12"/>
      <c r="Q40" s="12"/>
      <c r="R40" s="12"/>
    </row>
    <row r="41" spans="2:18" x14ac:dyDescent="0.3">
      <c r="N41" s="12"/>
      <c r="O41" s="12"/>
      <c r="P41" s="12"/>
      <c r="Q41" s="12"/>
      <c r="R41" s="12"/>
    </row>
    <row r="43" spans="2:18" x14ac:dyDescent="0.3">
      <c r="B43" s="16" t="s">
        <v>23</v>
      </c>
      <c r="C43" s="16"/>
      <c r="D43" s="16"/>
      <c r="E43" s="16"/>
      <c r="F43" s="16"/>
      <c r="G43" s="16"/>
      <c r="J43" s="16" t="s">
        <v>26</v>
      </c>
      <c r="K43" s="16"/>
      <c r="L43" s="16"/>
      <c r="M43" s="16"/>
      <c r="N43" s="16"/>
      <c r="O43" s="16"/>
    </row>
    <row r="45" spans="2:18" x14ac:dyDescent="0.3">
      <c r="B45" s="2" t="s">
        <v>6</v>
      </c>
      <c r="C45" s="2" t="s">
        <v>12</v>
      </c>
      <c r="D45" s="2" t="s">
        <v>13</v>
      </c>
      <c r="E45" s="2" t="s">
        <v>14</v>
      </c>
      <c r="F45" s="2" t="s">
        <v>15</v>
      </c>
    </row>
    <row r="46" spans="2:18" x14ac:dyDescent="0.3">
      <c r="B46" s="2" t="s">
        <v>12</v>
      </c>
      <c r="C46" s="2">
        <v>1</v>
      </c>
      <c r="D46" s="2">
        <v>0.33333333333333331</v>
      </c>
      <c r="E46" s="2">
        <v>0.2</v>
      </c>
      <c r="F46" s="2">
        <v>0.14285714285714285</v>
      </c>
    </row>
    <row r="47" spans="2:18" x14ac:dyDescent="0.3">
      <c r="B47" s="2" t="s">
        <v>13</v>
      </c>
      <c r="C47" s="2">
        <v>3</v>
      </c>
      <c r="D47" s="2">
        <v>1</v>
      </c>
      <c r="E47" s="2">
        <v>0.33333333333333331</v>
      </c>
      <c r="F47" s="2">
        <v>0.2</v>
      </c>
    </row>
    <row r="48" spans="2:18" x14ac:dyDescent="0.3">
      <c r="B48" s="2" t="s">
        <v>14</v>
      </c>
      <c r="C48" s="2">
        <v>5</v>
      </c>
      <c r="D48" s="2">
        <v>3</v>
      </c>
      <c r="E48" s="2">
        <v>1</v>
      </c>
      <c r="F48" s="2">
        <v>0.33333333333333331</v>
      </c>
    </row>
    <row r="49" spans="2:16" x14ac:dyDescent="0.3">
      <c r="B49" s="2" t="s">
        <v>15</v>
      </c>
      <c r="C49" s="2">
        <v>7</v>
      </c>
      <c r="D49" s="2">
        <v>5</v>
      </c>
      <c r="E49" s="2">
        <v>3</v>
      </c>
      <c r="F49" s="2">
        <v>1</v>
      </c>
    </row>
    <row r="50" spans="2:16" x14ac:dyDescent="0.3">
      <c r="B50" s="5" t="s">
        <v>16</v>
      </c>
      <c r="C50" s="6">
        <f>SUM(C46:C49)</f>
        <v>16</v>
      </c>
      <c r="D50" s="6">
        <f t="shared" ref="D50:F50" si="10">SUM(D46:D49)</f>
        <v>9.3333333333333321</v>
      </c>
      <c r="E50" s="6">
        <f t="shared" si="10"/>
        <v>4.5333333333333332</v>
      </c>
      <c r="F50" s="6">
        <f t="shared" si="10"/>
        <v>1.6761904761904762</v>
      </c>
    </row>
    <row r="52" spans="2:16" x14ac:dyDescent="0.3">
      <c r="B52" s="2" t="s">
        <v>6</v>
      </c>
      <c r="C52" s="2" t="s">
        <v>12</v>
      </c>
      <c r="D52" s="2" t="s">
        <v>13</v>
      </c>
      <c r="E52" s="2" t="s">
        <v>14</v>
      </c>
      <c r="F52" s="2" t="s">
        <v>15</v>
      </c>
      <c r="G52" s="5" t="s">
        <v>17</v>
      </c>
      <c r="K52" s="2" t="s">
        <v>6</v>
      </c>
      <c r="L52" s="2" t="s">
        <v>12</v>
      </c>
      <c r="M52" s="2" t="s">
        <v>13</v>
      </c>
      <c r="N52" s="2" t="s">
        <v>14</v>
      </c>
      <c r="O52" s="2" t="s">
        <v>15</v>
      </c>
      <c r="P52" s="5" t="s">
        <v>17</v>
      </c>
    </row>
    <row r="53" spans="2:16" x14ac:dyDescent="0.3">
      <c r="B53" s="2" t="s">
        <v>12</v>
      </c>
      <c r="C53" s="6">
        <f>C46/C50</f>
        <v>6.25E-2</v>
      </c>
      <c r="D53" s="6">
        <f>D46/D50</f>
        <v>3.5714285714285719E-2</v>
      </c>
      <c r="E53" s="6">
        <f>E46/E50</f>
        <v>4.4117647058823532E-2</v>
      </c>
      <c r="F53" s="6">
        <f>F46/F50</f>
        <v>8.5227272727272721E-2</v>
      </c>
      <c r="G53" s="11">
        <f>SUM(C53:F53)/4</f>
        <v>5.68898013750955E-2</v>
      </c>
      <c r="K53" s="2" t="s">
        <v>12</v>
      </c>
      <c r="L53" s="6">
        <f>C46/C50</f>
        <v>6.25E-2</v>
      </c>
      <c r="M53" s="6">
        <f>D46/D50</f>
        <v>3.5714285714285719E-2</v>
      </c>
      <c r="N53" s="6">
        <f>E46/E50</f>
        <v>4.4117647058823532E-2</v>
      </c>
      <c r="O53" s="6">
        <f>F46/F50</f>
        <v>8.5227272727272721E-2</v>
      </c>
      <c r="P53" s="11">
        <f>SUM(L53:O53)/4</f>
        <v>5.68898013750955E-2</v>
      </c>
    </row>
    <row r="54" spans="2:16" x14ac:dyDescent="0.3">
      <c r="B54" s="2" t="s">
        <v>13</v>
      </c>
      <c r="C54" s="6">
        <f>C47/C50</f>
        <v>0.1875</v>
      </c>
      <c r="D54" s="6">
        <f>D47/D50</f>
        <v>0.10714285714285715</v>
      </c>
      <c r="E54" s="9">
        <f>E47/E50</f>
        <v>7.3529411764705885E-2</v>
      </c>
      <c r="F54" s="6">
        <f>F47/F50</f>
        <v>0.11931818181818182</v>
      </c>
      <c r="G54" s="11">
        <f>SUM(C54:F54)/4</f>
        <v>0.12187261268143622</v>
      </c>
      <c r="K54" s="2" t="s">
        <v>13</v>
      </c>
      <c r="L54" s="6">
        <f>C47/C50</f>
        <v>0.1875</v>
      </c>
      <c r="M54" s="6">
        <f>D47/D50</f>
        <v>0.10714285714285715</v>
      </c>
      <c r="N54" s="6">
        <f>E47/E50</f>
        <v>7.3529411764705885E-2</v>
      </c>
      <c r="O54" s="6">
        <f>F47/F50</f>
        <v>0.11931818181818182</v>
      </c>
      <c r="P54" s="11">
        <f>SUM(L54:O54)/4</f>
        <v>0.12187261268143622</v>
      </c>
    </row>
    <row r="55" spans="2:16" x14ac:dyDescent="0.3">
      <c r="B55" s="2" t="s">
        <v>14</v>
      </c>
      <c r="C55" s="6">
        <f>C48/C50</f>
        <v>0.3125</v>
      </c>
      <c r="D55" s="6">
        <f>D48/D50</f>
        <v>0.32142857142857145</v>
      </c>
      <c r="E55" s="6">
        <f>E48/E50</f>
        <v>0.22058823529411764</v>
      </c>
      <c r="F55" s="6">
        <f>F48/F50</f>
        <v>0.19886363636363635</v>
      </c>
      <c r="G55" s="11">
        <f t="shared" ref="G55:G56" si="11">SUM(C55:F55)/4</f>
        <v>0.26334511077158135</v>
      </c>
      <c r="K55" s="2" t="s">
        <v>14</v>
      </c>
      <c r="L55" s="6">
        <f>C48/C50</f>
        <v>0.3125</v>
      </c>
      <c r="M55" s="6">
        <f>D48/D50</f>
        <v>0.32142857142857145</v>
      </c>
      <c r="N55" s="6">
        <f>E48/E50</f>
        <v>0.22058823529411764</v>
      </c>
      <c r="O55" s="6">
        <f>F48/F50</f>
        <v>0.19886363636363635</v>
      </c>
      <c r="P55" s="11">
        <f t="shared" ref="P55:P56" si="12">SUM(L55:O55)/4</f>
        <v>0.26334511077158135</v>
      </c>
    </row>
    <row r="56" spans="2:16" x14ac:dyDescent="0.3">
      <c r="B56" s="2" t="s">
        <v>15</v>
      </c>
      <c r="C56" s="6">
        <f>C49/C50</f>
        <v>0.4375</v>
      </c>
      <c r="D56" s="6">
        <f>D49/D50</f>
        <v>0.53571428571428581</v>
      </c>
      <c r="E56" s="6">
        <f>E49/E50</f>
        <v>0.66176470588235292</v>
      </c>
      <c r="F56" s="6">
        <f>F49/F50</f>
        <v>0.59659090909090906</v>
      </c>
      <c r="G56" s="11">
        <f t="shared" si="11"/>
        <v>0.557892475171887</v>
      </c>
      <c r="K56" s="2" t="s">
        <v>15</v>
      </c>
      <c r="L56" s="6">
        <f>C49/C50</f>
        <v>0.4375</v>
      </c>
      <c r="M56" s="6">
        <f>D49/D50</f>
        <v>0.53571428571428581</v>
      </c>
      <c r="N56" s="6">
        <f>E49/E50</f>
        <v>0.66176470588235292</v>
      </c>
      <c r="O56" s="6">
        <f>F49/F50</f>
        <v>0.59659090909090906</v>
      </c>
      <c r="P56" s="11">
        <f t="shared" si="12"/>
        <v>0.557892475171887</v>
      </c>
    </row>
    <row r="57" spans="2:16" x14ac:dyDescent="0.3">
      <c r="G57" s="10"/>
    </row>
    <row r="64" spans="2:16" x14ac:dyDescent="0.3">
      <c r="B64" s="16" t="s">
        <v>24</v>
      </c>
      <c r="C64" s="16"/>
      <c r="D64" s="16"/>
      <c r="E64" s="16"/>
      <c r="F64" s="16"/>
      <c r="G64" s="16"/>
    </row>
    <row r="66" spans="2:7" x14ac:dyDescent="0.3">
      <c r="B66" s="2" t="s">
        <v>7</v>
      </c>
      <c r="C66" s="2" t="s">
        <v>12</v>
      </c>
      <c r="D66" s="2" t="s">
        <v>13</v>
      </c>
      <c r="E66" s="2" t="s">
        <v>14</v>
      </c>
      <c r="F66" s="2" t="s">
        <v>15</v>
      </c>
    </row>
    <row r="67" spans="2:7" x14ac:dyDescent="0.3">
      <c r="B67" s="2" t="s">
        <v>12</v>
      </c>
      <c r="C67" s="2">
        <v>1</v>
      </c>
      <c r="D67" s="2">
        <v>3</v>
      </c>
      <c r="E67" s="2">
        <v>5</v>
      </c>
      <c r="F67" s="2">
        <v>7</v>
      </c>
    </row>
    <row r="68" spans="2:7" x14ac:dyDescent="0.3">
      <c r="B68" s="2" t="s">
        <v>13</v>
      </c>
      <c r="C68" s="2">
        <v>0.33333333333333331</v>
      </c>
      <c r="D68" s="2">
        <v>1</v>
      </c>
      <c r="E68" s="2">
        <v>3</v>
      </c>
      <c r="F68" s="2">
        <v>5</v>
      </c>
    </row>
    <row r="69" spans="2:7" x14ac:dyDescent="0.3">
      <c r="B69" s="2" t="s">
        <v>14</v>
      </c>
      <c r="C69" s="2">
        <v>0.2</v>
      </c>
      <c r="D69" s="2">
        <v>0.33333333333333331</v>
      </c>
      <c r="E69" s="2">
        <v>1</v>
      </c>
      <c r="F69" s="2">
        <v>3</v>
      </c>
    </row>
    <row r="70" spans="2:7" x14ac:dyDescent="0.3">
      <c r="B70" s="2" t="s">
        <v>15</v>
      </c>
      <c r="C70" s="2">
        <v>0.14285714285714285</v>
      </c>
      <c r="D70" s="2">
        <v>0.2</v>
      </c>
      <c r="E70" s="2">
        <v>0.33333333333333331</v>
      </c>
      <c r="F70" s="2">
        <v>1</v>
      </c>
    </row>
    <row r="71" spans="2:7" x14ac:dyDescent="0.3">
      <c r="B71" s="5" t="s">
        <v>16</v>
      </c>
      <c r="C71" s="6">
        <f>SUM(C67:C70)</f>
        <v>1.676190476190476</v>
      </c>
      <c r="D71" s="6">
        <f t="shared" ref="D71:F71" si="13">SUM(D67:D70)</f>
        <v>4.5333333333333332</v>
      </c>
      <c r="E71" s="6">
        <f t="shared" si="13"/>
        <v>9.3333333333333339</v>
      </c>
      <c r="F71" s="6">
        <f t="shared" si="13"/>
        <v>16</v>
      </c>
    </row>
    <row r="73" spans="2:7" x14ac:dyDescent="0.3">
      <c r="B73" s="2" t="s">
        <v>7</v>
      </c>
      <c r="C73" s="2" t="s">
        <v>12</v>
      </c>
      <c r="D73" s="2" t="s">
        <v>13</v>
      </c>
      <c r="E73" s="2" t="s">
        <v>14</v>
      </c>
      <c r="F73" s="2" t="s">
        <v>15</v>
      </c>
      <c r="G73" s="5" t="s">
        <v>17</v>
      </c>
    </row>
    <row r="74" spans="2:7" x14ac:dyDescent="0.3">
      <c r="B74" s="2" t="s">
        <v>12</v>
      </c>
      <c r="C74" s="6">
        <f>C67/C71</f>
        <v>0.59659090909090917</v>
      </c>
      <c r="D74" s="6">
        <f>D67/D71</f>
        <v>0.66176470588235292</v>
      </c>
      <c r="E74" s="6">
        <f>E67/E71</f>
        <v>0.5357142857142857</v>
      </c>
      <c r="F74" s="6">
        <f>F67/F71</f>
        <v>0.4375</v>
      </c>
      <c r="G74" s="11">
        <f>SUM(C74:F74)/4</f>
        <v>0.55789247517188689</v>
      </c>
    </row>
    <row r="75" spans="2:7" x14ac:dyDescent="0.3">
      <c r="B75" s="2" t="s">
        <v>13</v>
      </c>
      <c r="C75" s="6">
        <f>C68/C71</f>
        <v>0.19886363636363638</v>
      </c>
      <c r="D75" s="6">
        <f>D68/D71</f>
        <v>0.22058823529411764</v>
      </c>
      <c r="E75" s="6">
        <f>E68/E71</f>
        <v>0.3214285714285714</v>
      </c>
      <c r="F75" s="6">
        <f>F68/F71</f>
        <v>0.3125</v>
      </c>
      <c r="G75" s="11">
        <f>SUM(C75:F75)/4</f>
        <v>0.26334511077158135</v>
      </c>
    </row>
    <row r="76" spans="2:7" x14ac:dyDescent="0.3">
      <c r="B76" s="2" t="s">
        <v>14</v>
      </c>
      <c r="C76" s="6">
        <f>C69/C71</f>
        <v>0.11931818181818184</v>
      </c>
      <c r="D76" s="6">
        <f>D69/D71</f>
        <v>7.3529411764705885E-2</v>
      </c>
      <c r="E76" s="6">
        <f>E69/E71</f>
        <v>0.10714285714285714</v>
      </c>
      <c r="F76" s="6">
        <f>F69/F71</f>
        <v>0.1875</v>
      </c>
      <c r="G76" s="11">
        <f>SUM(C76:F76)/4</f>
        <v>0.12187261268143622</v>
      </c>
    </row>
    <row r="77" spans="2:7" x14ac:dyDescent="0.3">
      <c r="B77" s="2" t="s">
        <v>15</v>
      </c>
      <c r="C77" s="6">
        <f>C70/C71</f>
        <v>8.5227272727272735E-2</v>
      </c>
      <c r="D77" s="6">
        <f>D70/D71</f>
        <v>4.4117647058823532E-2</v>
      </c>
      <c r="E77" s="6">
        <f>E70/E71</f>
        <v>3.5714285714285712E-2</v>
      </c>
      <c r="F77" s="6">
        <f>F70/F71</f>
        <v>6.25E-2</v>
      </c>
      <c r="G77" s="11">
        <f>SUM(C77:F77)/4</f>
        <v>5.68898013750955E-2</v>
      </c>
    </row>
    <row r="78" spans="2:7" x14ac:dyDescent="0.3">
      <c r="G78" s="10"/>
    </row>
    <row r="85" spans="2:16" x14ac:dyDescent="0.3">
      <c r="B85" s="16" t="s">
        <v>25</v>
      </c>
      <c r="C85" s="16"/>
      <c r="D85" s="16"/>
      <c r="E85" s="16"/>
      <c r="F85" s="16"/>
      <c r="G85" s="16"/>
      <c r="J85" s="16" t="s">
        <v>27</v>
      </c>
      <c r="K85" s="16"/>
      <c r="L85" s="16"/>
      <c r="M85" s="16"/>
      <c r="N85" s="16"/>
      <c r="O85" s="16"/>
    </row>
    <row r="87" spans="2:16" x14ac:dyDescent="0.3">
      <c r="B87" s="2" t="s">
        <v>8</v>
      </c>
      <c r="C87" s="2" t="s">
        <v>12</v>
      </c>
      <c r="D87" s="2" t="s">
        <v>13</v>
      </c>
      <c r="E87" s="2" t="s">
        <v>14</v>
      </c>
      <c r="F87" s="2" t="s">
        <v>15</v>
      </c>
    </row>
    <row r="88" spans="2:16" x14ac:dyDescent="0.3">
      <c r="B88" s="2" t="s">
        <v>12</v>
      </c>
      <c r="C88" s="2">
        <v>1</v>
      </c>
      <c r="D88" s="2">
        <v>0.25</v>
      </c>
      <c r="E88" s="2">
        <v>0.16666666666666666</v>
      </c>
      <c r="F88" s="2">
        <v>0.125</v>
      </c>
    </row>
    <row r="89" spans="2:16" x14ac:dyDescent="0.3">
      <c r="B89" s="2" t="s">
        <v>13</v>
      </c>
      <c r="C89" s="2">
        <v>4</v>
      </c>
      <c r="D89" s="2">
        <v>1</v>
      </c>
      <c r="E89" s="2">
        <v>0.33333333333333331</v>
      </c>
      <c r="F89" s="2">
        <v>0.2</v>
      </c>
    </row>
    <row r="90" spans="2:16" x14ac:dyDescent="0.3">
      <c r="B90" s="2" t="s">
        <v>14</v>
      </c>
      <c r="C90" s="2">
        <v>6</v>
      </c>
      <c r="D90" s="2">
        <v>3</v>
      </c>
      <c r="E90" s="2">
        <v>1</v>
      </c>
      <c r="F90" s="2">
        <v>0.33333333333333331</v>
      </c>
    </row>
    <row r="91" spans="2:16" x14ac:dyDescent="0.3">
      <c r="B91" s="2" t="s">
        <v>15</v>
      </c>
      <c r="C91" s="2">
        <v>8</v>
      </c>
      <c r="D91" s="2">
        <v>5</v>
      </c>
      <c r="E91" s="2">
        <v>3</v>
      </c>
      <c r="F91" s="2">
        <v>1</v>
      </c>
    </row>
    <row r="92" spans="2:16" x14ac:dyDescent="0.3">
      <c r="B92" s="6" t="s">
        <v>16</v>
      </c>
      <c r="C92" s="6">
        <f>SUM(C88:C91)</f>
        <v>19</v>
      </c>
      <c r="D92" s="6">
        <f t="shared" ref="D92:F92" si="14">SUM(D88:D91)</f>
        <v>9.25</v>
      </c>
      <c r="E92" s="6">
        <f t="shared" si="14"/>
        <v>4.5</v>
      </c>
      <c r="F92" s="6">
        <f t="shared" si="14"/>
        <v>1.6583333333333332</v>
      </c>
    </row>
    <row r="93" spans="2:16" x14ac:dyDescent="0.3">
      <c r="K93" s="2" t="s">
        <v>8</v>
      </c>
      <c r="L93" s="2" t="s">
        <v>12</v>
      </c>
      <c r="M93" s="2" t="s">
        <v>13</v>
      </c>
      <c r="N93" s="2" t="s">
        <v>14</v>
      </c>
      <c r="O93" s="2" t="s">
        <v>15</v>
      </c>
      <c r="P93" s="5" t="s">
        <v>17</v>
      </c>
    </row>
    <row r="94" spans="2:16" x14ac:dyDescent="0.3">
      <c r="B94" s="2" t="s">
        <v>8</v>
      </c>
      <c r="C94" s="2" t="s">
        <v>12</v>
      </c>
      <c r="D94" s="2" t="s">
        <v>13</v>
      </c>
      <c r="E94" s="2" t="s">
        <v>14</v>
      </c>
      <c r="F94" s="2" t="s">
        <v>15</v>
      </c>
      <c r="G94" s="5" t="s">
        <v>17</v>
      </c>
      <c r="K94" s="2" t="s">
        <v>12</v>
      </c>
      <c r="L94" s="6">
        <f>C88/C92</f>
        <v>5.2631578947368418E-2</v>
      </c>
      <c r="M94" s="6">
        <f>D88/D92</f>
        <v>2.7027027027027029E-2</v>
      </c>
      <c r="N94" s="6">
        <f>E88/E92</f>
        <v>3.7037037037037035E-2</v>
      </c>
      <c r="O94" s="6">
        <f>F88/F92</f>
        <v>7.537688442211056E-2</v>
      </c>
      <c r="P94" s="11">
        <f>SUM(L94:O94)/4</f>
        <v>4.8018131858385757E-2</v>
      </c>
    </row>
    <row r="95" spans="2:16" x14ac:dyDescent="0.3">
      <c r="B95" s="2" t="s">
        <v>12</v>
      </c>
      <c r="C95" s="6">
        <f>C88/C92</f>
        <v>5.2631578947368418E-2</v>
      </c>
      <c r="D95" s="6">
        <f>D88/D92</f>
        <v>2.7027027027027029E-2</v>
      </c>
      <c r="E95" s="6">
        <f>E88/E92</f>
        <v>3.7037037037037035E-2</v>
      </c>
      <c r="F95" s="6">
        <f>F88/F92</f>
        <v>7.537688442211056E-2</v>
      </c>
      <c r="G95" s="11">
        <f>SUM(C95:F95)/4</f>
        <v>4.8018131858385757E-2</v>
      </c>
      <c r="K95" s="2" t="s">
        <v>13</v>
      </c>
      <c r="L95" s="6">
        <f>C89/C92</f>
        <v>0.21052631578947367</v>
      </c>
      <c r="M95" s="6">
        <f>D89/D92</f>
        <v>0.10810810810810811</v>
      </c>
      <c r="N95" s="6">
        <f>E89/E92</f>
        <v>7.407407407407407E-2</v>
      </c>
      <c r="O95" s="6">
        <f>F89/F92</f>
        <v>0.12060301507537689</v>
      </c>
      <c r="P95" s="11">
        <f t="shared" ref="P95:P96" si="15">SUM(L95:O95)/4</f>
        <v>0.12832787826175818</v>
      </c>
    </row>
    <row r="96" spans="2:16" x14ac:dyDescent="0.3">
      <c r="B96" s="2" t="s">
        <v>13</v>
      </c>
      <c r="C96" s="6">
        <f>C89/C92</f>
        <v>0.21052631578947367</v>
      </c>
      <c r="D96" s="6">
        <f>D89/D92</f>
        <v>0.10810810810810811</v>
      </c>
      <c r="E96" s="6">
        <f>E89/E92</f>
        <v>7.407407407407407E-2</v>
      </c>
      <c r="F96" s="6">
        <f>F89/F92</f>
        <v>0.12060301507537689</v>
      </c>
      <c r="G96" s="11">
        <f t="shared" ref="G96:G97" si="16">SUM(C96:F96)/4</f>
        <v>0.12832787826175818</v>
      </c>
      <c r="K96" s="2" t="s">
        <v>14</v>
      </c>
      <c r="L96" s="6">
        <f>C90/C92</f>
        <v>0.31578947368421051</v>
      </c>
      <c r="M96" s="6">
        <f>D90/D92</f>
        <v>0.32432432432432434</v>
      </c>
      <c r="N96" s="6">
        <f>E90/E92</f>
        <v>0.22222222222222221</v>
      </c>
      <c r="O96" s="6">
        <f>F90/F92</f>
        <v>0.20100502512562815</v>
      </c>
      <c r="P96" s="11">
        <f t="shared" si="15"/>
        <v>0.2658352613390963</v>
      </c>
    </row>
    <row r="97" spans="2:16" x14ac:dyDescent="0.3">
      <c r="B97" s="2" t="s">
        <v>14</v>
      </c>
      <c r="C97" s="6">
        <f>C90/C92</f>
        <v>0.31578947368421051</v>
      </c>
      <c r="D97" s="6">
        <f>D90/D92</f>
        <v>0.32432432432432434</v>
      </c>
      <c r="E97" s="6">
        <f>E90/E92</f>
        <v>0.22222222222222221</v>
      </c>
      <c r="F97" s="6">
        <f>F90/F92</f>
        <v>0.20100502512562815</v>
      </c>
      <c r="G97" s="11">
        <f t="shared" si="16"/>
        <v>0.2658352613390963</v>
      </c>
      <c r="K97" s="2" t="s">
        <v>15</v>
      </c>
      <c r="L97" s="6">
        <f>C91/C92</f>
        <v>0.42105263157894735</v>
      </c>
      <c r="M97" s="6">
        <f>D91/D92</f>
        <v>0.54054054054054057</v>
      </c>
      <c r="N97" s="6">
        <f>E91/E92</f>
        <v>0.66666666666666663</v>
      </c>
      <c r="O97" s="6">
        <f>F91/F92</f>
        <v>0.60301507537688448</v>
      </c>
      <c r="P97" s="11">
        <f>SUM(L97:O97)/4</f>
        <v>0.55781872854075976</v>
      </c>
    </row>
    <row r="98" spans="2:16" x14ac:dyDescent="0.3">
      <c r="B98" s="2" t="s">
        <v>15</v>
      </c>
      <c r="C98" s="6">
        <f>C91/C92</f>
        <v>0.42105263157894735</v>
      </c>
      <c r="D98" s="6">
        <f>D91/D92</f>
        <v>0.54054054054054057</v>
      </c>
      <c r="E98" s="6">
        <f>E91/E92</f>
        <v>0.66666666666666663</v>
      </c>
      <c r="F98" s="6">
        <f>F91/F92</f>
        <v>0.60301507537688448</v>
      </c>
      <c r="G98" s="11">
        <f>SUM(C98:F98)/4</f>
        <v>0.55781872854075976</v>
      </c>
    </row>
    <row r="102" spans="2:16" x14ac:dyDescent="0.3">
      <c r="B102" s="16" t="s">
        <v>28</v>
      </c>
      <c r="C102" s="16"/>
      <c r="D102" s="16"/>
      <c r="E102" s="16"/>
      <c r="F102" s="16"/>
      <c r="G102" s="16"/>
    </row>
    <row r="104" spans="2:16" x14ac:dyDescent="0.3">
      <c r="B104" s="2" t="s">
        <v>10</v>
      </c>
      <c r="C104" s="2" t="s">
        <v>12</v>
      </c>
      <c r="D104" s="2" t="s">
        <v>13</v>
      </c>
      <c r="E104" s="2" t="s">
        <v>14</v>
      </c>
      <c r="F104" s="2" t="s">
        <v>15</v>
      </c>
    </row>
    <row r="105" spans="2:16" x14ac:dyDescent="0.3">
      <c r="B105" s="2" t="s">
        <v>12</v>
      </c>
      <c r="C105" s="2">
        <v>1</v>
      </c>
      <c r="D105" s="2">
        <v>2</v>
      </c>
      <c r="E105" s="2">
        <v>4</v>
      </c>
      <c r="F105" s="2">
        <v>6</v>
      </c>
    </row>
    <row r="106" spans="2:16" x14ac:dyDescent="0.3">
      <c r="B106" s="2" t="s">
        <v>13</v>
      </c>
      <c r="C106" s="2">
        <v>0.5</v>
      </c>
      <c r="D106" s="2">
        <v>1</v>
      </c>
      <c r="E106" s="2">
        <v>2</v>
      </c>
      <c r="F106" s="2">
        <v>4</v>
      </c>
    </row>
    <row r="107" spans="2:16" x14ac:dyDescent="0.3">
      <c r="B107" s="2" t="s">
        <v>14</v>
      </c>
      <c r="C107" s="2">
        <v>0.25</v>
      </c>
      <c r="D107" s="2">
        <v>0.5</v>
      </c>
      <c r="E107" s="2">
        <v>1</v>
      </c>
      <c r="F107" s="2">
        <v>2</v>
      </c>
    </row>
    <row r="108" spans="2:16" x14ac:dyDescent="0.3">
      <c r="B108" s="2" t="s">
        <v>15</v>
      </c>
      <c r="C108" s="2">
        <v>0.16666666666666666</v>
      </c>
      <c r="D108" s="2">
        <v>0.25</v>
      </c>
      <c r="E108" s="2">
        <v>0.5</v>
      </c>
      <c r="F108" s="2">
        <v>1</v>
      </c>
    </row>
    <row r="109" spans="2:16" x14ac:dyDescent="0.3">
      <c r="B109" s="5" t="s">
        <v>16</v>
      </c>
      <c r="C109" s="6">
        <f>SUM(C105:C108)</f>
        <v>1.9166666666666667</v>
      </c>
      <c r="D109" s="6">
        <f t="shared" ref="D109:F109" si="17">SUM(D105:D108)</f>
        <v>3.75</v>
      </c>
      <c r="E109" s="6">
        <f t="shared" si="17"/>
        <v>7.5</v>
      </c>
      <c r="F109" s="6">
        <f t="shared" si="17"/>
        <v>13</v>
      </c>
    </row>
    <row r="111" spans="2:16" x14ac:dyDescent="0.3">
      <c r="B111" s="2" t="s">
        <v>10</v>
      </c>
      <c r="C111" s="2" t="s">
        <v>12</v>
      </c>
      <c r="D111" s="2" t="s">
        <v>13</v>
      </c>
      <c r="E111" s="2" t="s">
        <v>14</v>
      </c>
      <c r="F111" s="2" t="s">
        <v>15</v>
      </c>
      <c r="G111" s="5" t="s">
        <v>17</v>
      </c>
    </row>
    <row r="112" spans="2:16" x14ac:dyDescent="0.3">
      <c r="B112" s="2" t="s">
        <v>12</v>
      </c>
      <c r="C112" s="6">
        <f>C105/C109</f>
        <v>0.52173913043478259</v>
      </c>
      <c r="D112" s="6">
        <f>D105/D109</f>
        <v>0.53333333333333333</v>
      </c>
      <c r="E112" s="6">
        <f>E105/E109</f>
        <v>0.53333333333333333</v>
      </c>
      <c r="F112" s="6">
        <f>F105/F109</f>
        <v>0.46153846153846156</v>
      </c>
      <c r="G112" s="11">
        <f>SUM(C112:F112)/4</f>
        <v>0.5124860646599777</v>
      </c>
    </row>
    <row r="113" spans="2:8" x14ac:dyDescent="0.3">
      <c r="B113" s="2" t="s">
        <v>13</v>
      </c>
      <c r="C113" s="6">
        <f>C106/C109</f>
        <v>0.2608695652173913</v>
      </c>
      <c r="D113" s="6">
        <f>D106/D109</f>
        <v>0.26666666666666666</v>
      </c>
      <c r="E113" s="6">
        <f>E106/E109</f>
        <v>0.26666666666666666</v>
      </c>
      <c r="F113" s="6">
        <f>F106/F109</f>
        <v>0.30769230769230771</v>
      </c>
      <c r="G113" s="11">
        <f t="shared" ref="G113:G115" si="18">SUM(C113:F113)/4</f>
        <v>0.27547380156075807</v>
      </c>
    </row>
    <row r="114" spans="2:8" x14ac:dyDescent="0.3">
      <c r="B114" s="2" t="s">
        <v>14</v>
      </c>
      <c r="C114" s="6">
        <f>C107/C109</f>
        <v>0.13043478260869565</v>
      </c>
      <c r="D114" s="6">
        <f>D107/D109</f>
        <v>0.13333333333333333</v>
      </c>
      <c r="E114" s="6">
        <f>E107/E109</f>
        <v>0.13333333333333333</v>
      </c>
      <c r="F114" s="6">
        <f>F107/F109</f>
        <v>0.15384615384615385</v>
      </c>
      <c r="G114" s="11">
        <f t="shared" si="18"/>
        <v>0.13773690078037903</v>
      </c>
    </row>
    <row r="115" spans="2:8" x14ac:dyDescent="0.3">
      <c r="B115" s="2" t="s">
        <v>15</v>
      </c>
      <c r="C115" s="6">
        <f>C108/C109</f>
        <v>8.6956521739130432E-2</v>
      </c>
      <c r="D115" s="6">
        <f>D108/D109</f>
        <v>6.6666666666666666E-2</v>
      </c>
      <c r="E115" s="6">
        <f>E108/E109</f>
        <v>6.6666666666666666E-2</v>
      </c>
      <c r="F115" s="6">
        <f>F108/F109</f>
        <v>7.6923076923076927E-2</v>
      </c>
      <c r="G115" s="11">
        <f t="shared" si="18"/>
        <v>7.4303232998885166E-2</v>
      </c>
    </row>
    <row r="120" spans="2:8" ht="14.4" x14ac:dyDescent="0.3">
      <c r="B120" s="15" t="s">
        <v>29</v>
      </c>
      <c r="C120" s="15"/>
      <c r="D120" s="15"/>
      <c r="E120" s="15"/>
      <c r="F120" s="15"/>
      <c r="G120" s="15"/>
      <c r="H120" s="15"/>
    </row>
    <row r="122" spans="2:8" x14ac:dyDescent="0.3">
      <c r="B122" s="5" t="s">
        <v>35</v>
      </c>
      <c r="C122" s="5" t="s">
        <v>6</v>
      </c>
      <c r="D122" s="5" t="s">
        <v>7</v>
      </c>
      <c r="E122" s="5" t="s">
        <v>8</v>
      </c>
      <c r="F122" s="5" t="s">
        <v>9</v>
      </c>
      <c r="G122" s="5" t="s">
        <v>10</v>
      </c>
      <c r="H122" s="5" t="s">
        <v>11</v>
      </c>
    </row>
    <row r="123" spans="2:8" x14ac:dyDescent="0.3">
      <c r="B123" s="5" t="s">
        <v>30</v>
      </c>
      <c r="C123" s="5">
        <v>0.06</v>
      </c>
      <c r="D123" s="5">
        <v>0.56000000000000005</v>
      </c>
      <c r="E123" s="5">
        <v>0.05</v>
      </c>
      <c r="F123" s="5">
        <v>0.06</v>
      </c>
      <c r="G123" s="5">
        <v>0.51</v>
      </c>
      <c r="H123" s="5">
        <v>0.05</v>
      </c>
    </row>
    <row r="124" spans="2:8" x14ac:dyDescent="0.3">
      <c r="B124" s="5" t="s">
        <v>31</v>
      </c>
      <c r="C124" s="5">
        <v>0.12</v>
      </c>
      <c r="D124" s="5">
        <v>0.26</v>
      </c>
      <c r="E124" s="5">
        <v>0.13</v>
      </c>
      <c r="F124" s="5">
        <v>0.12</v>
      </c>
      <c r="G124" s="5">
        <v>0.28000000000000003</v>
      </c>
      <c r="H124" s="5">
        <v>0.13</v>
      </c>
    </row>
    <row r="125" spans="2:8" x14ac:dyDescent="0.3">
      <c r="B125" s="5" t="s">
        <v>32</v>
      </c>
      <c r="C125" s="5">
        <v>0.26</v>
      </c>
      <c r="D125" s="5">
        <v>0.12</v>
      </c>
      <c r="E125" s="5">
        <v>0.27</v>
      </c>
      <c r="F125" s="5">
        <v>0.26</v>
      </c>
      <c r="G125" s="5">
        <v>0.14000000000000001</v>
      </c>
      <c r="H125" s="5">
        <v>0.27</v>
      </c>
    </row>
    <row r="126" spans="2:8" x14ac:dyDescent="0.3">
      <c r="B126" s="5" t="s">
        <v>33</v>
      </c>
      <c r="C126" s="5">
        <v>0.56000000000000005</v>
      </c>
      <c r="D126" s="5">
        <v>0.06</v>
      </c>
      <c r="E126" s="5">
        <v>0.56000000000000005</v>
      </c>
      <c r="F126" s="5">
        <v>0.56000000000000005</v>
      </c>
      <c r="G126" s="5">
        <v>7.0000000000000007E-2</v>
      </c>
      <c r="H126" s="5">
        <v>0.56000000000000005</v>
      </c>
    </row>
    <row r="131" spans="2:11" ht="14.4" x14ac:dyDescent="0.3">
      <c r="B131" s="15" t="s">
        <v>34</v>
      </c>
      <c r="C131" s="15"/>
      <c r="D131" s="15"/>
      <c r="E131" s="15"/>
      <c r="F131" s="15"/>
      <c r="G131" s="14"/>
      <c r="H131" s="14"/>
      <c r="I131" s="14"/>
      <c r="J131" s="14"/>
      <c r="K131" s="14"/>
    </row>
    <row r="132" spans="2:11" ht="27.6" x14ac:dyDescent="0.3">
      <c r="B132" s="1" t="s">
        <v>35</v>
      </c>
      <c r="C132" s="1" t="s">
        <v>36</v>
      </c>
      <c r="D132" s="13" t="s">
        <v>37</v>
      </c>
    </row>
    <row r="133" spans="2:11" x14ac:dyDescent="0.3">
      <c r="B133" s="1" t="s">
        <v>30</v>
      </c>
      <c r="C133" s="10">
        <f>I19*C123+I20*D123+I21*E123+I22*F123+I23*G123+I24*H123</f>
        <v>0.14374984520620729</v>
      </c>
      <c r="D133" s="1">
        <v>4</v>
      </c>
    </row>
    <row r="134" spans="2:11" x14ac:dyDescent="0.3">
      <c r="B134" s="1" t="s">
        <v>31</v>
      </c>
      <c r="C134" s="10">
        <f>I19*C124+I20*D124+I21*E124+I22*F124+I23*G124+I24*H124</f>
        <v>0.1509791816075409</v>
      </c>
      <c r="D134" s="1">
        <v>3</v>
      </c>
    </row>
    <row r="135" spans="2:11" x14ac:dyDescent="0.3">
      <c r="B135" s="1" t="s">
        <v>32</v>
      </c>
      <c r="C135" s="10">
        <f>I19*C125+I20*D125+I21*E125+I22*F125+I23*G125+I24*H125</f>
        <v>0.23986893379387125</v>
      </c>
      <c r="D135" s="1">
        <v>2</v>
      </c>
    </row>
    <row r="136" spans="2:11" x14ac:dyDescent="0.3">
      <c r="B136" s="1" t="s">
        <v>33</v>
      </c>
      <c r="C136" s="10">
        <f>I19*C126+I20*D126+I21*E126+I22*F126+I23*G126+I24*H126</f>
        <v>0.46942983258618398</v>
      </c>
      <c r="D136" s="1">
        <v>1</v>
      </c>
    </row>
  </sheetData>
  <mergeCells count="16">
    <mergeCell ref="N1:R1"/>
    <mergeCell ref="A7:I7"/>
    <mergeCell ref="B43:G43"/>
    <mergeCell ref="B64:G64"/>
    <mergeCell ref="B85:G85"/>
    <mergeCell ref="A2:I2"/>
    <mergeCell ref="A3:I3"/>
    <mergeCell ref="A4:I4"/>
    <mergeCell ref="A5:I5"/>
    <mergeCell ref="A6:I6"/>
    <mergeCell ref="A1:I1"/>
    <mergeCell ref="B120:H120"/>
    <mergeCell ref="B131:F131"/>
    <mergeCell ref="J43:O43"/>
    <mergeCell ref="J85:O85"/>
    <mergeCell ref="B102:G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Nguyễn Hưng Văn</dc:creator>
  <cp:lastModifiedBy>Khánh Nguyễn Hưng Văn</cp:lastModifiedBy>
  <dcterms:created xsi:type="dcterms:W3CDTF">2026-02-04T06:47:45Z</dcterms:created>
  <dcterms:modified xsi:type="dcterms:W3CDTF">2026-03-06T07:50:10Z</dcterms:modified>
</cp:coreProperties>
</file>